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380" windowHeight="8196" tabRatio="500"/>
  </bookViews>
  <sheets>
    <sheet name="Математика" sheetId="1" r:id="rId1"/>
    <sheet name="Кредит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D14" i="2" s="1"/>
  <c r="A7" i="2"/>
  <c r="A6" i="2"/>
  <c r="A8" i="2" s="1"/>
  <c r="Z10" i="1"/>
  <c r="Z8" i="1"/>
  <c r="X8" i="1"/>
  <c r="I8" i="1"/>
  <c r="G8" i="1"/>
  <c r="H8" i="1" s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G6" i="1"/>
  <c r="H6" i="1" s="1"/>
  <c r="F6" i="1"/>
  <c r="AA5" i="1"/>
  <c r="Z5" i="1"/>
  <c r="X5" i="1"/>
  <c r="T5" i="1"/>
  <c r="M5" i="1"/>
  <c r="M6" i="1" s="1"/>
  <c r="M7" i="1" s="1"/>
  <c r="M8" i="1" s="1"/>
  <c r="I5" i="1"/>
  <c r="G5" i="1"/>
  <c r="H5" i="1" s="1"/>
  <c r="F5" i="1"/>
  <c r="AA4" i="1"/>
  <c r="Z4" i="1"/>
  <c r="X4" i="1"/>
  <c r="T4" i="1"/>
  <c r="M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  <c r="C47" i="2" l="1"/>
  <c r="C31" i="2"/>
  <c r="C15" i="2"/>
  <c r="C34" i="2"/>
  <c r="C18" i="2"/>
  <c r="C37" i="2"/>
  <c r="C21" i="2"/>
  <c r="C40" i="2"/>
  <c r="C24" i="2"/>
  <c r="C43" i="2"/>
  <c r="C27" i="2"/>
  <c r="C46" i="2"/>
  <c r="C30" i="2"/>
  <c r="C14" i="2"/>
  <c r="C49" i="2"/>
  <c r="C33" i="2"/>
  <c r="C17" i="2"/>
  <c r="C36" i="2"/>
  <c r="C20" i="2"/>
  <c r="C39" i="2"/>
  <c r="C23" i="2"/>
  <c r="C42" i="2"/>
  <c r="C26" i="2"/>
  <c r="A9" i="2"/>
  <c r="A10" i="2" s="1"/>
  <c r="A11" i="2" s="1"/>
  <c r="C45" i="2"/>
  <c r="C29" i="2"/>
  <c r="C48" i="2"/>
  <c r="C32" i="2"/>
  <c r="C16" i="2"/>
  <c r="C35" i="2"/>
  <c r="C19" i="2"/>
  <c r="C38" i="2"/>
  <c r="C22" i="2"/>
  <c r="C41" i="2"/>
  <c r="C25" i="2"/>
  <c r="C44" i="2"/>
  <c r="C28" i="2"/>
  <c r="C50" i="2" l="1"/>
  <c r="E14" i="2"/>
  <c r="F14" i="2" l="1"/>
  <c r="B15" i="2" s="1"/>
  <c r="D15" i="2" l="1"/>
  <c r="E15" i="2" l="1"/>
  <c r="F15" i="2" l="1"/>
  <c r="B16" i="2" s="1"/>
  <c r="D16" i="2" l="1"/>
  <c r="E16" i="2" l="1"/>
  <c r="F16" i="2" l="1"/>
  <c r="B17" i="2" s="1"/>
  <c r="D17" i="2" l="1"/>
  <c r="E17" i="2" l="1"/>
  <c r="F17" i="2" l="1"/>
  <c r="B18" i="2" s="1"/>
  <c r="D18" i="2" l="1"/>
  <c r="E18" i="2" s="1"/>
  <c r="F18" i="2" s="1"/>
  <c r="B19" i="2" s="1"/>
  <c r="D19" i="2" l="1"/>
  <c r="E19" i="2" s="1"/>
  <c r="F19" i="2" s="1"/>
  <c r="B20" i="2" s="1"/>
  <c r="D20" i="2" l="1"/>
  <c r="E20" i="2" s="1"/>
  <c r="F20" i="2" s="1"/>
  <c r="B21" i="2" s="1"/>
  <c r="D21" i="2" l="1"/>
  <c r="E21" i="2" s="1"/>
  <c r="F21" i="2" s="1"/>
  <c r="B22" i="2" s="1"/>
  <c r="D22" i="2" l="1"/>
  <c r="E22" i="2" s="1"/>
  <c r="F22" i="2" s="1"/>
  <c r="B23" i="2" s="1"/>
  <c r="D23" i="2" l="1"/>
  <c r="E23" i="2" s="1"/>
  <c r="F23" i="2" s="1"/>
  <c r="B24" i="2" s="1"/>
  <c r="D24" i="2" l="1"/>
  <c r="E24" i="2" s="1"/>
  <c r="F24" i="2" s="1"/>
  <c r="B25" i="2" s="1"/>
  <c r="D25" i="2" l="1"/>
  <c r="E25" i="2" s="1"/>
  <c r="F25" i="2" s="1"/>
  <c r="B26" i="2" s="1"/>
  <c r="D26" i="2" l="1"/>
  <c r="E26" i="2" s="1"/>
  <c r="F26" i="2" s="1"/>
  <c r="B27" i="2" s="1"/>
  <c r="D27" i="2" l="1"/>
  <c r="E27" i="2" s="1"/>
  <c r="F27" i="2" s="1"/>
  <c r="B28" i="2" s="1"/>
  <c r="D28" i="2" l="1"/>
  <c r="E28" i="2" s="1"/>
  <c r="F28" i="2" s="1"/>
  <c r="B29" i="2" s="1"/>
  <c r="D29" i="2" l="1"/>
  <c r="E29" i="2" s="1"/>
  <c r="F29" i="2" s="1"/>
  <c r="B30" i="2" s="1"/>
  <c r="D30" i="2" l="1"/>
  <c r="E30" i="2" s="1"/>
  <c r="F30" i="2" s="1"/>
  <c r="B31" i="2" s="1"/>
  <c r="D31" i="2" l="1"/>
  <c r="E31" i="2" s="1"/>
  <c r="F31" i="2" s="1"/>
  <c r="B32" i="2" s="1"/>
  <c r="D32" i="2" l="1"/>
  <c r="E32" i="2" s="1"/>
  <c r="F32" i="2" s="1"/>
  <c r="B33" i="2" s="1"/>
  <c r="D33" i="2" l="1"/>
  <c r="E33" i="2" s="1"/>
  <c r="F33" i="2" s="1"/>
  <c r="B34" i="2" s="1"/>
  <c r="D34" i="2" l="1"/>
  <c r="E34" i="2" s="1"/>
  <c r="F34" i="2"/>
  <c r="B35" i="2" s="1"/>
  <c r="D35" i="2" l="1"/>
  <c r="E35" i="2" s="1"/>
  <c r="F35" i="2" s="1"/>
  <c r="B36" i="2" s="1"/>
  <c r="D36" i="2" l="1"/>
  <c r="E36" i="2" s="1"/>
  <c r="F36" i="2" s="1"/>
  <c r="B37" i="2" s="1"/>
  <c r="D37" i="2" l="1"/>
  <c r="E37" i="2" s="1"/>
  <c r="F37" i="2" s="1"/>
  <c r="B38" i="2" s="1"/>
  <c r="D38" i="2" l="1"/>
  <c r="E38" i="2" s="1"/>
  <c r="F38" i="2" s="1"/>
  <c r="B39" i="2" s="1"/>
  <c r="D39" i="2" l="1"/>
  <c r="E39" i="2" s="1"/>
  <c r="F39" i="2" s="1"/>
  <c r="B40" i="2" s="1"/>
  <c r="D40" i="2" l="1"/>
  <c r="E40" i="2" s="1"/>
  <c r="F40" i="2" s="1"/>
  <c r="B41" i="2" s="1"/>
  <c r="D41" i="2" l="1"/>
  <c r="E41" i="2" s="1"/>
  <c r="F41" i="2" s="1"/>
  <c r="B42" i="2" s="1"/>
  <c r="D42" i="2" l="1"/>
  <c r="E42" i="2" s="1"/>
  <c r="F42" i="2" s="1"/>
  <c r="B43" i="2" s="1"/>
  <c r="D43" i="2" l="1"/>
  <c r="E43" i="2" s="1"/>
  <c r="F43" i="2" s="1"/>
  <c r="B44" i="2" s="1"/>
  <c r="D44" i="2" l="1"/>
  <c r="E44" i="2" s="1"/>
  <c r="F44" i="2" s="1"/>
  <c r="B45" i="2" s="1"/>
  <c r="D45" i="2" l="1"/>
  <c r="E45" i="2" s="1"/>
  <c r="F45" i="2" s="1"/>
  <c r="B46" i="2" s="1"/>
  <c r="D46" i="2" l="1"/>
  <c r="E46" i="2" s="1"/>
  <c r="F46" i="2" s="1"/>
  <c r="B47" i="2" s="1"/>
  <c r="D47" i="2" l="1"/>
  <c r="E47" i="2" s="1"/>
  <c r="F47" i="2" s="1"/>
  <c r="B48" i="2" s="1"/>
  <c r="D48" i="2" l="1"/>
  <c r="E48" i="2" s="1"/>
  <c r="F48" i="2" s="1"/>
  <c r="B49" i="2" s="1"/>
  <c r="D49" i="2" l="1"/>
  <c r="E49" i="2" l="1"/>
  <c r="D50" i="2"/>
  <c r="E50" i="2" l="1"/>
  <c r="F49" i="2"/>
</calcChain>
</file>

<file path=xl/comments1.xml><?xml version="1.0" encoding="utf-8"?>
<comments xmlns="http://schemas.openxmlformats.org/spreadsheetml/2006/main">
  <authors>
    <author>Unknown Author</author>
  </authors>
  <commentList>
    <comment ref="Y1" authorId="0" shapeId="0">
      <text>
        <r>
          <rPr>
            <sz val="10"/>
            <rFont val="Arial"/>
            <family val="2"/>
          </rPr>
          <t>Параметр из задания: угол 60 градусов</t>
        </r>
      </text>
    </comment>
    <comment ref="Z10" authorId="0" shapeId="0">
      <text>
        <r>
          <rPr>
            <sz val="10"/>
            <rFont val="Arial"/>
            <family val="2"/>
          </rPr>
          <t>В PDF опечатка: =СТЕПЕНЬ(ПИ()/3). Правильно: =ГРАДУСЫ(ПИ()/3) = 60°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1" authorId="0" shapeId="0">
      <text>
        <r>
          <rPr>
            <sz val="10"/>
            <rFont val="Arial"/>
            <family val="2"/>
          </rPr>
          <t>Исходные данные из задания (значения A1:A3 заданы условием).</t>
        </r>
      </text>
    </comment>
  </commentList>
</comments>
</file>

<file path=xl/sharedStrings.xml><?xml version="1.0" encoding="utf-8"?>
<sst xmlns="http://schemas.openxmlformats.org/spreadsheetml/2006/main" count="47" uniqueCount="46">
  <si>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</si>
  <si>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</si>
  <si>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</si>
  <si>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</si>
  <si>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</si>
  <si>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</si>
  <si>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</si>
  <si>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</si>
  <si>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</si>
  <si>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Норма массы, кг:</t>
  </si>
  <si>
    <t>№ п/п</t>
  </si>
  <si>
    <t>Начальная сумма, руб.</t>
  </si>
  <si>
    <t>Угол α, °:</t>
  </si>
  <si>
    <t>Длина дуги (мм)</t>
  </si>
  <si>
    <t>Дуга через РАДИАНЫ</t>
  </si>
  <si>
    <t>Общая масса</t>
  </si>
  <si>
    <t>Ставка годовая</t>
  </si>
  <si>
    <t>Масса деталей &gt; 2 кг</t>
  </si>
  <si>
    <t>Срок, лет</t>
  </si>
  <si>
    <t>Средневзвешенная масса</t>
  </si>
  <si>
    <t>Сложный процент, руб.</t>
  </si>
  <si>
    <t>Количество деталей &gt; 2 кг</t>
  </si>
  <si>
    <t>Непрерывное начисление, руб.</t>
  </si>
  <si>
    <t>Средняя масса</t>
  </si>
  <si>
    <t>Правило 72, лет</t>
  </si>
  <si>
    <t>Максимальная масса</t>
  </si>
  <si>
    <t>Срок удвоения, лет</t>
  </si>
  <si>
    <t>Минимальная масса</t>
  </si>
  <si>
    <t>Обратное преобразование:</t>
  </si>
  <si>
    <t>Сумма кредита, руб.</t>
  </si>
  <si>
    <t>Примечание: в PDF задание по кредиту обрывается на исходных данных, поэтому рассчитан стандартный аннуитетный кредит (PMT).</t>
  </si>
  <si>
    <t>Годовая ставка</t>
  </si>
  <si>
    <t>Расчёты (аннуитетный платёж)</t>
  </si>
  <si>
    <t>Ставка в месяц</t>
  </si>
  <si>
    <t>Срок, месяцев</t>
  </si>
  <si>
    <t>Ежемесячный платёж, руб.</t>
  </si>
  <si>
    <t>Общая сумма выплат, руб.</t>
  </si>
  <si>
    <t>Переплата, руб.</t>
  </si>
  <si>
    <t>Переплата, % от суммы</t>
  </si>
  <si>
    <t>Месяц</t>
  </si>
  <si>
    <t>Остаток на начало</t>
  </si>
  <si>
    <t>Платёж</t>
  </si>
  <si>
    <t>Проценты</t>
  </si>
  <si>
    <t>Основной долг</t>
  </si>
  <si>
    <t>Остаток на конец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</si>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</sst>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#,##0.0"/>
    <numFmt numFmtId="166" formatCode="0.000"/>
    <numFmt numFmtId="167" formatCode="0.0000%"/>
    <numFmt numFmtId="168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sz val="10"/>
      <name val="Arial"/>
      <family val="2"/>
    </font>
    <font>
      <i/>
      <sz val="11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/>
    <xf numFmtId="3" fontId="3" fillId="3" borderId="1" xfId="0" applyNumberFormat="1" applyFont="1" applyFill="1" applyBorder="1"/>
    <xf numFmtId="2" fontId="4" fillId="0" borderId="1" xfId="0" applyNumberFormat="1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9" fontId="3" fillId="3" borderId="1" xfId="0" applyNumberFormat="1" applyFont="1" applyFill="1" applyBorder="1"/>
    <xf numFmtId="4" fontId="4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/>
    <xf numFmtId="0" fontId="6" fillId="0" borderId="0" xfId="0" applyFont="1"/>
    <xf numFmtId="0" fontId="7" fillId="0" borderId="0" xfId="0" applyFont="1"/>
    <xf numFmtId="167" fontId="4" fillId="0" borderId="1" xfId="0" applyNumberFormat="1" applyFont="1" applyBorder="1"/>
    <xf numFmtId="1" fontId="4" fillId="0" borderId="1" xfId="0" applyNumberFormat="1" applyFont="1" applyBorder="1"/>
    <xf numFmtId="168" fontId="4" fillId="0" borderId="1" xfId="0" applyNumberFormat="1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7"/>
  <sheetViews>
    <sheetView tabSelected="1" zoomScaleNormal="100" workbookViewId="0">
      <selection activeCell="J1" sqref="J1"/>
    </sheetView>
  </sheetViews>
  <sheetFormatPr defaultColWidth="8.6640625" defaultRowHeight="14.4" x14ac:dyDescent="0.3"/>
  <cols>
    <col min="1" max="1" width="10" customWidth="1"/>
    <col min="2" max="3" width="14" customWidth="1"/>
    <col min="4" max="6" width="13" customWidth="1"/>
    <col min="7" max="7" width="16" customWidth="1"/>
    <col min="8" max="9" width="10" customWidth="1"/>
    <col min="10" max="10" width="18.44140625" bestFit="1" customWidth="1"/>
    <col min="11" max="11" width="8" customWidth="1"/>
    <col min="19" max="19" width="30" customWidth="1"/>
    <col min="20" max="20" width="16" customWidth="1"/>
    <col min="23" max="23" width="10" bestFit="1" customWidth="1"/>
    <col min="24" max="24" width="16" customWidth="1"/>
    <col min="25" max="25" width="24" customWidth="1"/>
    <col min="26" max="26" width="20" customWidth="1"/>
    <col min="27" max="27" width="14" customWidth="1"/>
    <col min="28" max="28" width="28" customWidth="1"/>
  </cols>
  <sheetData>
    <row r="1" spans="1:28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>
        <v>3</v>
      </c>
      <c r="M1" s="1" t="s">
        <v>10</v>
      </c>
      <c r="S1" s="2" t="s">
        <v>11</v>
      </c>
      <c r="T1" s="4">
        <v>100000</v>
      </c>
      <c r="W1" s="2" t="s">
        <v>12</v>
      </c>
      <c r="X1" s="1" t="s">
        <v>13</v>
      </c>
      <c r="Y1" s="3">
        <v>60</v>
      </c>
      <c r="Z1" s="1" t="s">
        <v>14</v>
      </c>
      <c r="AA1" s="5">
        <f>SUM(D2:D8)</f>
        <v>21.799999999999997</v>
      </c>
      <c r="AB1" s="6" t="s">
        <v>15</v>
      </c>
    </row>
    <row r="2" spans="1:28" x14ac:dyDescent="0.3">
      <c r="A2" s="7">
        <v>1</v>
      </c>
      <c r="B2" s="8">
        <v>12.5</v>
      </c>
      <c r="C2" s="8">
        <v>30</v>
      </c>
      <c r="D2" s="8">
        <v>2.4</v>
      </c>
      <c r="E2" s="8">
        <v>145</v>
      </c>
      <c r="F2" s="9">
        <f t="shared" ref="F2:F8" si="0">2*B2</f>
        <v>25</v>
      </c>
      <c r="G2" s="10">
        <f t="shared" ref="G2:G8" si="1">PI()*POWER(B2,2)*C2</f>
        <v>14726.215563702155</v>
      </c>
      <c r="H2" s="9">
        <f t="shared" ref="H2:H8" si="2">SQRT(G2)</f>
        <v>121.3516195347312</v>
      </c>
      <c r="I2" s="9">
        <f t="shared" ref="I2:I8" si="3">ABS(D2-$K$1)</f>
        <v>0.60000000000000009</v>
      </c>
      <c r="M2" s="11">
        <v>1</v>
      </c>
      <c r="S2" s="2" t="s">
        <v>16</v>
      </c>
      <c r="T2" s="12">
        <v>0.12</v>
      </c>
      <c r="X2" s="9">
        <f t="shared" ref="X2:X8" si="4">PI()*B2*$Y$1/180</f>
        <v>13.089969389957471</v>
      </c>
      <c r="Z2" s="9">
        <f t="shared" ref="Z2:Z8" si="5">B2*RADIANS($Y$1)</f>
        <v>13.089969389957471</v>
      </c>
      <c r="AA2" s="5">
        <f>SUMIF(D2:D8,"&gt;2")</f>
        <v>18.100000000000001</v>
      </c>
      <c r="AB2" s="6" t="s">
        <v>17</v>
      </c>
    </row>
    <row r="3" spans="1:28" x14ac:dyDescent="0.3">
      <c r="A3" s="7">
        <v>2</v>
      </c>
      <c r="B3" s="8">
        <v>8.3000000000000007</v>
      </c>
      <c r="C3" s="8">
        <v>25</v>
      </c>
      <c r="D3" s="8">
        <v>1.1000000000000001</v>
      </c>
      <c r="E3" s="8">
        <v>98</v>
      </c>
      <c r="F3" s="9">
        <f t="shared" si="0"/>
        <v>16.600000000000001</v>
      </c>
      <c r="G3" s="10">
        <f t="shared" si="1"/>
        <v>5410.6079476450223</v>
      </c>
      <c r="H3" s="9">
        <f t="shared" si="2"/>
        <v>73.556834812578927</v>
      </c>
      <c r="I3" s="9">
        <f t="shared" si="3"/>
        <v>1.9</v>
      </c>
      <c r="M3" s="11">
        <v>2</v>
      </c>
      <c r="S3" s="2" t="s">
        <v>18</v>
      </c>
      <c r="T3" s="3">
        <v>5</v>
      </c>
      <c r="X3" s="9">
        <f t="shared" si="4"/>
        <v>8.6917396749317621</v>
      </c>
      <c r="Z3" s="9">
        <f t="shared" si="5"/>
        <v>8.6917396749317604</v>
      </c>
      <c r="AA3" s="5">
        <f>SUMPRODUCT(D2:D8,E2:E8)/SUM(E2:E8)</f>
        <v>4.0744612928970474</v>
      </c>
      <c r="AB3" s="6" t="s">
        <v>19</v>
      </c>
    </row>
    <row r="4" spans="1:28" x14ac:dyDescent="0.3">
      <c r="A4" s="7">
        <v>3</v>
      </c>
      <c r="B4" s="8">
        <v>15.7</v>
      </c>
      <c r="C4" s="8">
        <v>40</v>
      </c>
      <c r="D4" s="8">
        <v>4</v>
      </c>
      <c r="E4" s="8">
        <v>210</v>
      </c>
      <c r="F4" s="9">
        <f t="shared" si="0"/>
        <v>31.4</v>
      </c>
      <c r="G4" s="10">
        <f t="shared" si="1"/>
        <v>30974.846927333921</v>
      </c>
      <c r="H4" s="9">
        <f t="shared" si="2"/>
        <v>175.99672419489494</v>
      </c>
      <c r="I4" s="9">
        <f t="shared" si="3"/>
        <v>1</v>
      </c>
      <c r="M4" s="11">
        <f>M3+1</f>
        <v>3</v>
      </c>
      <c r="S4" s="2" t="s">
        <v>20</v>
      </c>
      <c r="T4" s="13">
        <f>T1*POWER(1+T2,T3)</f>
        <v>176234.16832000006</v>
      </c>
      <c r="X4" s="9">
        <f t="shared" si="4"/>
        <v>16.441001553786581</v>
      </c>
      <c r="Z4" s="9">
        <f t="shared" si="5"/>
        <v>16.441001553786581</v>
      </c>
      <c r="AA4" s="5">
        <f>COUNTIF(D2:D8,"&gt;2")</f>
        <v>4</v>
      </c>
      <c r="AB4" s="6" t="s">
        <v>21</v>
      </c>
    </row>
    <row r="5" spans="1:28" x14ac:dyDescent="0.3">
      <c r="A5" s="7">
        <v>4</v>
      </c>
      <c r="B5" s="8">
        <v>6.2</v>
      </c>
      <c r="C5" s="8">
        <v>18</v>
      </c>
      <c r="D5" s="8">
        <v>0.7</v>
      </c>
      <c r="E5" s="8">
        <v>75</v>
      </c>
      <c r="F5" s="9">
        <f t="shared" si="0"/>
        <v>12.4</v>
      </c>
      <c r="G5" s="10">
        <f t="shared" si="1"/>
        <v>2173.7307888718501</v>
      </c>
      <c r="H5" s="9">
        <f t="shared" si="2"/>
        <v>46.623285908136616</v>
      </c>
      <c r="I5" s="9">
        <f t="shared" si="3"/>
        <v>2.2999999999999998</v>
      </c>
      <c r="M5" s="11">
        <f>M4+1</f>
        <v>4</v>
      </c>
      <c r="S5" s="2" t="s">
        <v>22</v>
      </c>
      <c r="T5" s="13">
        <f>T1*EXP(T2*T3)</f>
        <v>182211.88003905088</v>
      </c>
      <c r="X5" s="9">
        <f t="shared" si="4"/>
        <v>6.4926248174189052</v>
      </c>
      <c r="Z5" s="9">
        <f t="shared" si="5"/>
        <v>6.4926248174189052</v>
      </c>
      <c r="AA5" s="5">
        <f>AVERAGE(D2:D8)</f>
        <v>3.1142857142857139</v>
      </c>
      <c r="AB5" s="6" t="s">
        <v>23</v>
      </c>
    </row>
    <row r="6" spans="1:28" x14ac:dyDescent="0.3">
      <c r="A6" s="7">
        <v>5</v>
      </c>
      <c r="B6" s="8">
        <v>20.100000000000001</v>
      </c>
      <c r="C6" s="8">
        <v>55</v>
      </c>
      <c r="D6" s="8">
        <v>6.5</v>
      </c>
      <c r="E6" s="8">
        <v>320</v>
      </c>
      <c r="F6" s="9">
        <f t="shared" si="0"/>
        <v>40.200000000000003</v>
      </c>
      <c r="G6" s="10">
        <f t="shared" si="1"/>
        <v>69807.916638724681</v>
      </c>
      <c r="H6" s="9">
        <f t="shared" si="2"/>
        <v>264.21187830740064</v>
      </c>
      <c r="I6" s="9">
        <f t="shared" si="3"/>
        <v>3.5</v>
      </c>
      <c r="M6" s="11">
        <f>M5+1</f>
        <v>5</v>
      </c>
      <c r="S6" s="2" t="s">
        <v>24</v>
      </c>
      <c r="T6" s="9">
        <f>72/(T2*100)</f>
        <v>6</v>
      </c>
      <c r="X6" s="9">
        <f t="shared" si="4"/>
        <v>21.048670779051616</v>
      </c>
      <c r="Z6" s="9">
        <f t="shared" si="5"/>
        <v>21.048670779051612</v>
      </c>
      <c r="AA6" s="5">
        <f>MAX(D2:D8)</f>
        <v>6.5</v>
      </c>
      <c r="AB6" s="6" t="s">
        <v>25</v>
      </c>
    </row>
    <row r="7" spans="1:28" x14ac:dyDescent="0.3">
      <c r="A7" s="7">
        <v>6</v>
      </c>
      <c r="B7" s="8">
        <v>10.4</v>
      </c>
      <c r="C7" s="8">
        <v>28</v>
      </c>
      <c r="D7" s="8">
        <v>1.9</v>
      </c>
      <c r="E7" s="8">
        <v>130</v>
      </c>
      <c r="F7" s="9">
        <f t="shared" si="0"/>
        <v>20.8</v>
      </c>
      <c r="G7" s="10">
        <f t="shared" si="1"/>
        <v>9514.250519543617</v>
      </c>
      <c r="H7" s="9">
        <f t="shared" si="2"/>
        <v>97.541019676562826</v>
      </c>
      <c r="I7" s="9">
        <f t="shared" si="3"/>
        <v>1.1000000000000001</v>
      </c>
      <c r="M7" s="11">
        <f>M6+1</f>
        <v>6</v>
      </c>
      <c r="S7" s="2" t="s">
        <v>26</v>
      </c>
      <c r="T7" s="14">
        <f>LN(2)/LN(1+T2)</f>
        <v>6.1162553741996994</v>
      </c>
      <c r="X7" s="9">
        <f t="shared" si="4"/>
        <v>10.890854532444616</v>
      </c>
      <c r="Z7" s="9">
        <f t="shared" si="5"/>
        <v>10.890854532444616</v>
      </c>
      <c r="AA7" s="5">
        <f>MIN(D2:D8)</f>
        <v>0.7</v>
      </c>
      <c r="AB7" s="6" t="s">
        <v>27</v>
      </c>
    </row>
    <row r="8" spans="1:28" x14ac:dyDescent="0.3">
      <c r="A8" s="7">
        <v>7</v>
      </c>
      <c r="B8" s="8">
        <v>18.899999999999999</v>
      </c>
      <c r="C8" s="8">
        <v>48</v>
      </c>
      <c r="D8" s="8">
        <v>5.2</v>
      </c>
      <c r="E8" s="8">
        <v>275</v>
      </c>
      <c r="F8" s="9">
        <f t="shared" si="0"/>
        <v>37.799999999999997</v>
      </c>
      <c r="G8" s="10">
        <f t="shared" si="1"/>
        <v>53865.998965862877</v>
      </c>
      <c r="H8" s="9">
        <f t="shared" si="2"/>
        <v>232.09049736226359</v>
      </c>
      <c r="I8" s="9">
        <f t="shared" si="3"/>
        <v>2.2000000000000002</v>
      </c>
      <c r="M8" s="11">
        <f>M7+1</f>
        <v>7</v>
      </c>
      <c r="X8" s="9">
        <f t="shared" si="4"/>
        <v>19.792033717615695</v>
      </c>
      <c r="Z8" s="9">
        <f t="shared" si="5"/>
        <v>19.792033717615695</v>
      </c>
    </row>
    <row r="10" spans="1:28" x14ac:dyDescent="0.3">
      <c r="Y10" s="2" t="s">
        <v>28</v>
      </c>
      <c r="Z10" s="15">
        <f>DEGREES(PI()/3)</f>
        <v>59.999999999999993</v>
      </c>
    </row>
    <row r="21" spans="26:26" x14ac:dyDescent="0.3">
      <c r="Z21" s="2"/>
    </row>
    <row r="22" spans="26:26" x14ac:dyDescent="0.3">
      <c r="Z22" s="2"/>
    </row>
    <row r="23" spans="26:26" x14ac:dyDescent="0.3">
      <c r="Z23" s="2"/>
    </row>
    <row r="24" spans="26:26" x14ac:dyDescent="0.3">
      <c r="Z24" s="2"/>
    </row>
    <row r="25" spans="26:26" x14ac:dyDescent="0.3">
      <c r="Z25" s="2"/>
    </row>
    <row r="26" spans="26:26" x14ac:dyDescent="0.3">
      <c r="Z26" s="2"/>
    </row>
    <row r="27" spans="26:26" x14ac:dyDescent="0.3">
      <c r="Z27" s="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0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26" customWidth="1"/>
    <col min="3" max="5" width="16" customWidth="1"/>
    <col min="6" max="6" width="18" customWidth="1"/>
  </cols>
  <sheetData>
    <row r="1" spans="1:8" x14ac:dyDescent="0.3">
      <c r="A1" s="4">
        <v>500000</v>
      </c>
      <c r="B1" s="2" t="s">
        <v>29</v>
      </c>
      <c r="H1" s="16" t="s">
        <v>30</v>
      </c>
    </row>
    <row r="2" spans="1:8" x14ac:dyDescent="0.3">
      <c r="A2" s="12">
        <v>0.18</v>
      </c>
      <c r="B2" s="2" t="s">
        <v>31</v>
      </c>
    </row>
    <row r="3" spans="1:8" x14ac:dyDescent="0.3">
      <c r="A3" s="3">
        <v>3</v>
      </c>
      <c r="B3" s="2" t="s">
        <v>18</v>
      </c>
    </row>
    <row r="5" spans="1:8" ht="15.6" x14ac:dyDescent="0.3">
      <c r="A5" s="17" t="s">
        <v>32</v>
      </c>
    </row>
    <row r="6" spans="1:8" x14ac:dyDescent="0.3">
      <c r="A6" s="18">
        <f>A2/12</f>
        <v>1.4999999999999999E-2</v>
      </c>
      <c r="B6" s="2" t="s">
        <v>33</v>
      </c>
    </row>
    <row r="7" spans="1:8" x14ac:dyDescent="0.3">
      <c r="A7" s="19">
        <f>A3*12</f>
        <v>36</v>
      </c>
      <c r="B7" s="2" t="s">
        <v>34</v>
      </c>
    </row>
    <row r="8" spans="1:8" x14ac:dyDescent="0.3">
      <c r="A8" s="13">
        <f>-PMT(A6,A7,A1)</f>
        <v>18076.197767958416</v>
      </c>
      <c r="B8" s="2" t="s">
        <v>35</v>
      </c>
    </row>
    <row r="9" spans="1:8" x14ac:dyDescent="0.3">
      <c r="A9" s="13">
        <f>A8*A7</f>
        <v>650743.11964650301</v>
      </c>
      <c r="B9" s="2" t="s">
        <v>36</v>
      </c>
    </row>
    <row r="10" spans="1:8" x14ac:dyDescent="0.3">
      <c r="A10" s="13">
        <f>A9-A1</f>
        <v>150743.11964650301</v>
      </c>
      <c r="B10" s="2" t="s">
        <v>37</v>
      </c>
    </row>
    <row r="11" spans="1:8" x14ac:dyDescent="0.3">
      <c r="A11" s="20">
        <f>A10/A1</f>
        <v>0.301486239293006</v>
      </c>
      <c r="B11" s="2" t="s">
        <v>38</v>
      </c>
    </row>
    <row r="13" spans="1:8" ht="27.6" x14ac:dyDescent="0.3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</row>
    <row r="14" spans="1:8" x14ac:dyDescent="0.3">
      <c r="A14" s="11">
        <v>1</v>
      </c>
      <c r="B14" s="13">
        <f>$A$1</f>
        <v>500000</v>
      </c>
      <c r="C14" s="13">
        <f t="shared" ref="C14:C49" si="0">$A$8</f>
        <v>18076.197767958416</v>
      </c>
      <c r="D14" s="13">
        <f t="shared" ref="D14:D49" si="1">B14*$A$6</f>
        <v>7500</v>
      </c>
      <c r="E14" s="13">
        <f t="shared" ref="E14:E49" si="2">C14-D14</f>
        <v>10576.197767958416</v>
      </c>
      <c r="F14" s="13">
        <f t="shared" ref="F14:F49" si="3">B14-E14</f>
        <v>489423.80223204161</v>
      </c>
    </row>
    <row r="15" spans="1:8" x14ac:dyDescent="0.3">
      <c r="A15" s="11">
        <v>2</v>
      </c>
      <c r="B15" s="13">
        <f t="shared" ref="B15:B49" si="4">F14</f>
        <v>489423.80223204161</v>
      </c>
      <c r="C15" s="13">
        <f t="shared" si="0"/>
        <v>18076.197767958416</v>
      </c>
      <c r="D15" s="13">
        <f t="shared" si="1"/>
        <v>7341.3570334806236</v>
      </c>
      <c r="E15" s="13">
        <f t="shared" si="2"/>
        <v>10734.840734477792</v>
      </c>
      <c r="F15" s="13">
        <f t="shared" si="3"/>
        <v>478688.96149756381</v>
      </c>
    </row>
    <row r="16" spans="1:8" x14ac:dyDescent="0.3">
      <c r="A16" s="11">
        <v>3</v>
      </c>
      <c r="B16" s="13">
        <f t="shared" si="4"/>
        <v>478688.96149756381</v>
      </c>
      <c r="C16" s="13">
        <f t="shared" si="0"/>
        <v>18076.197767958416</v>
      </c>
      <c r="D16" s="13">
        <f t="shared" si="1"/>
        <v>7180.3344224634566</v>
      </c>
      <c r="E16" s="13">
        <f t="shared" si="2"/>
        <v>10895.86334549496</v>
      </c>
      <c r="F16" s="13">
        <f t="shared" si="3"/>
        <v>467793.09815206885</v>
      </c>
    </row>
    <row r="17" spans="1:6" x14ac:dyDescent="0.3">
      <c r="A17" s="11">
        <v>4</v>
      </c>
      <c r="B17" s="13">
        <f t="shared" si="4"/>
        <v>467793.09815206885</v>
      </c>
      <c r="C17" s="13">
        <f t="shared" si="0"/>
        <v>18076.197767958416</v>
      </c>
      <c r="D17" s="13">
        <f t="shared" si="1"/>
        <v>7016.8964722810324</v>
      </c>
      <c r="E17" s="13">
        <f t="shared" si="2"/>
        <v>11059.301295677384</v>
      </c>
      <c r="F17" s="13">
        <f t="shared" si="3"/>
        <v>456733.79685639148</v>
      </c>
    </row>
    <row r="18" spans="1:6" x14ac:dyDescent="0.3">
      <c r="A18" s="11">
        <v>5</v>
      </c>
      <c r="B18" s="13">
        <f t="shared" si="4"/>
        <v>456733.79685639148</v>
      </c>
      <c r="C18" s="13">
        <f t="shared" si="0"/>
        <v>18076.197767958416</v>
      </c>
      <c r="D18" s="13">
        <f t="shared" si="1"/>
        <v>6851.0069528458716</v>
      </c>
      <c r="E18" s="13">
        <f t="shared" si="2"/>
        <v>11225.190815112544</v>
      </c>
      <c r="F18" s="13">
        <f t="shared" si="3"/>
        <v>445508.60604127892</v>
      </c>
    </row>
    <row r="19" spans="1:6" x14ac:dyDescent="0.3">
      <c r="A19" s="11">
        <v>6</v>
      </c>
      <c r="B19" s="13">
        <f t="shared" si="4"/>
        <v>445508.60604127892</v>
      </c>
      <c r="C19" s="13">
        <f t="shared" si="0"/>
        <v>18076.197767958416</v>
      </c>
      <c r="D19" s="13">
        <f t="shared" si="1"/>
        <v>6682.6290906191834</v>
      </c>
      <c r="E19" s="13">
        <f t="shared" si="2"/>
        <v>11393.568677339234</v>
      </c>
      <c r="F19" s="13">
        <f t="shared" si="3"/>
        <v>434115.03736393969</v>
      </c>
    </row>
    <row r="20" spans="1:6" x14ac:dyDescent="0.3">
      <c r="A20" s="11">
        <v>7</v>
      </c>
      <c r="B20" s="13">
        <f t="shared" si="4"/>
        <v>434115.03736393969</v>
      </c>
      <c r="C20" s="13">
        <f t="shared" si="0"/>
        <v>18076.197767958416</v>
      </c>
      <c r="D20" s="13">
        <f t="shared" si="1"/>
        <v>6511.7255604590946</v>
      </c>
      <c r="E20" s="13">
        <f t="shared" si="2"/>
        <v>11564.472207499322</v>
      </c>
      <c r="F20" s="13">
        <f t="shared" si="3"/>
        <v>422550.56515644037</v>
      </c>
    </row>
    <row r="21" spans="1:6" x14ac:dyDescent="0.3">
      <c r="A21" s="11">
        <v>8</v>
      </c>
      <c r="B21" s="13">
        <f t="shared" si="4"/>
        <v>422550.56515644037</v>
      </c>
      <c r="C21" s="13">
        <f t="shared" si="0"/>
        <v>18076.197767958416</v>
      </c>
      <c r="D21" s="13">
        <f t="shared" si="1"/>
        <v>6338.2584773466051</v>
      </c>
      <c r="E21" s="13">
        <f t="shared" si="2"/>
        <v>11737.939290611812</v>
      </c>
      <c r="F21" s="13">
        <f t="shared" si="3"/>
        <v>410812.62586582854</v>
      </c>
    </row>
    <row r="22" spans="1:6" x14ac:dyDescent="0.3">
      <c r="A22" s="11">
        <v>9</v>
      </c>
      <c r="B22" s="13">
        <f t="shared" si="4"/>
        <v>410812.62586582854</v>
      </c>
      <c r="C22" s="13">
        <f t="shared" si="0"/>
        <v>18076.197767958416</v>
      </c>
      <c r="D22" s="13">
        <f t="shared" si="1"/>
        <v>6162.1893879874278</v>
      </c>
      <c r="E22" s="13">
        <f t="shared" si="2"/>
        <v>11914.008379970988</v>
      </c>
      <c r="F22" s="13">
        <f t="shared" si="3"/>
        <v>398898.61748585757</v>
      </c>
    </row>
    <row r="23" spans="1:6" x14ac:dyDescent="0.3">
      <c r="A23" s="11">
        <v>10</v>
      </c>
      <c r="B23" s="13">
        <f t="shared" si="4"/>
        <v>398898.61748585757</v>
      </c>
      <c r="C23" s="13">
        <f t="shared" si="0"/>
        <v>18076.197767958416</v>
      </c>
      <c r="D23" s="13">
        <f t="shared" si="1"/>
        <v>5983.4792622878631</v>
      </c>
      <c r="E23" s="13">
        <f t="shared" si="2"/>
        <v>12092.718505670553</v>
      </c>
      <c r="F23" s="13">
        <f t="shared" si="3"/>
        <v>386805.89898018702</v>
      </c>
    </row>
    <row r="24" spans="1:6" x14ac:dyDescent="0.3">
      <c r="A24" s="11">
        <v>11</v>
      </c>
      <c r="B24" s="13">
        <f t="shared" si="4"/>
        <v>386805.89898018702</v>
      </c>
      <c r="C24" s="13">
        <f t="shared" si="0"/>
        <v>18076.197767958416</v>
      </c>
      <c r="D24" s="13">
        <f t="shared" si="1"/>
        <v>5802.0884847028046</v>
      </c>
      <c r="E24" s="13">
        <f t="shared" si="2"/>
        <v>12274.109283255611</v>
      </c>
      <c r="F24" s="13">
        <f t="shared" si="3"/>
        <v>374531.78969693143</v>
      </c>
    </row>
    <row r="25" spans="1:6" x14ac:dyDescent="0.3">
      <c r="A25" s="11">
        <v>12</v>
      </c>
      <c r="B25" s="13">
        <f t="shared" si="4"/>
        <v>374531.78969693143</v>
      </c>
      <c r="C25" s="13">
        <f t="shared" si="0"/>
        <v>18076.197767958416</v>
      </c>
      <c r="D25" s="13">
        <f t="shared" si="1"/>
        <v>5617.9768454539717</v>
      </c>
      <c r="E25" s="13">
        <f t="shared" si="2"/>
        <v>12458.220922504444</v>
      </c>
      <c r="F25" s="13">
        <f t="shared" si="3"/>
        <v>362073.568774427</v>
      </c>
    </row>
    <row r="26" spans="1:6" x14ac:dyDescent="0.3">
      <c r="A26" s="11">
        <v>13</v>
      </c>
      <c r="B26" s="13">
        <f t="shared" si="4"/>
        <v>362073.568774427</v>
      </c>
      <c r="C26" s="13">
        <f t="shared" si="0"/>
        <v>18076.197767958416</v>
      </c>
      <c r="D26" s="13">
        <f t="shared" si="1"/>
        <v>5431.1035316164043</v>
      </c>
      <c r="E26" s="13">
        <f t="shared" si="2"/>
        <v>12645.094236342011</v>
      </c>
      <c r="F26" s="13">
        <f t="shared" si="3"/>
        <v>349428.47453808499</v>
      </c>
    </row>
    <row r="27" spans="1:6" x14ac:dyDescent="0.3">
      <c r="A27" s="11">
        <v>14</v>
      </c>
      <c r="B27" s="13">
        <f t="shared" si="4"/>
        <v>349428.47453808499</v>
      </c>
      <c r="C27" s="13">
        <f t="shared" si="0"/>
        <v>18076.197767958416</v>
      </c>
      <c r="D27" s="13">
        <f t="shared" si="1"/>
        <v>5241.4271180712749</v>
      </c>
      <c r="E27" s="13">
        <f t="shared" si="2"/>
        <v>12834.770649887141</v>
      </c>
      <c r="F27" s="13">
        <f t="shared" si="3"/>
        <v>336593.70388819784</v>
      </c>
    </row>
    <row r="28" spans="1:6" x14ac:dyDescent="0.3">
      <c r="A28" s="11">
        <v>15</v>
      </c>
      <c r="B28" s="13">
        <f t="shared" si="4"/>
        <v>336593.70388819784</v>
      </c>
      <c r="C28" s="13">
        <f t="shared" si="0"/>
        <v>18076.197767958416</v>
      </c>
      <c r="D28" s="13">
        <f t="shared" si="1"/>
        <v>5048.9055583229674</v>
      </c>
      <c r="E28" s="13">
        <f t="shared" si="2"/>
        <v>13027.292209635449</v>
      </c>
      <c r="F28" s="13">
        <f t="shared" si="3"/>
        <v>323566.41167856241</v>
      </c>
    </row>
    <row r="29" spans="1:6" x14ac:dyDescent="0.3">
      <c r="A29" s="11">
        <v>16</v>
      </c>
      <c r="B29" s="13">
        <f t="shared" si="4"/>
        <v>323566.41167856241</v>
      </c>
      <c r="C29" s="13">
        <f t="shared" si="0"/>
        <v>18076.197767958416</v>
      </c>
      <c r="D29" s="13">
        <f t="shared" si="1"/>
        <v>4853.4961751784358</v>
      </c>
      <c r="E29" s="13">
        <f t="shared" si="2"/>
        <v>13222.70159277998</v>
      </c>
      <c r="F29" s="13">
        <f t="shared" si="3"/>
        <v>310343.71008578246</v>
      </c>
    </row>
    <row r="30" spans="1:6" x14ac:dyDescent="0.3">
      <c r="A30" s="11">
        <v>17</v>
      </c>
      <c r="B30" s="13">
        <f t="shared" si="4"/>
        <v>310343.71008578246</v>
      </c>
      <c r="C30" s="13">
        <f t="shared" si="0"/>
        <v>18076.197767958416</v>
      </c>
      <c r="D30" s="13">
        <f t="shared" si="1"/>
        <v>4655.1556512867364</v>
      </c>
      <c r="E30" s="13">
        <f t="shared" si="2"/>
        <v>13421.042116671681</v>
      </c>
      <c r="F30" s="13">
        <f t="shared" si="3"/>
        <v>296922.66796911077</v>
      </c>
    </row>
    <row r="31" spans="1:6" x14ac:dyDescent="0.3">
      <c r="A31" s="11">
        <v>18</v>
      </c>
      <c r="B31" s="13">
        <f t="shared" si="4"/>
        <v>296922.66796911077</v>
      </c>
      <c r="C31" s="13">
        <f t="shared" si="0"/>
        <v>18076.197767958416</v>
      </c>
      <c r="D31" s="13">
        <f t="shared" si="1"/>
        <v>4453.8400195366612</v>
      </c>
      <c r="E31" s="13">
        <f t="shared" si="2"/>
        <v>13622.357748421755</v>
      </c>
      <c r="F31" s="13">
        <f t="shared" si="3"/>
        <v>283300.31022068899</v>
      </c>
    </row>
    <row r="32" spans="1:6" x14ac:dyDescent="0.3">
      <c r="A32" s="11">
        <v>19</v>
      </c>
      <c r="B32" s="13">
        <f t="shared" si="4"/>
        <v>283300.31022068899</v>
      </c>
      <c r="C32" s="13">
        <f t="shared" si="0"/>
        <v>18076.197767958416</v>
      </c>
      <c r="D32" s="13">
        <f t="shared" si="1"/>
        <v>4249.504653310335</v>
      </c>
      <c r="E32" s="13">
        <f t="shared" si="2"/>
        <v>13826.693114648082</v>
      </c>
      <c r="F32" s="13">
        <f t="shared" si="3"/>
        <v>269473.61710604088</v>
      </c>
    </row>
    <row r="33" spans="1:6" x14ac:dyDescent="0.3">
      <c r="A33" s="11">
        <v>20</v>
      </c>
      <c r="B33" s="13">
        <f t="shared" si="4"/>
        <v>269473.61710604088</v>
      </c>
      <c r="C33" s="13">
        <f t="shared" si="0"/>
        <v>18076.197767958416</v>
      </c>
      <c r="D33" s="13">
        <f t="shared" si="1"/>
        <v>4042.1042565906132</v>
      </c>
      <c r="E33" s="13">
        <f t="shared" si="2"/>
        <v>14034.093511367802</v>
      </c>
      <c r="F33" s="13">
        <f t="shared" si="3"/>
        <v>255439.52359467308</v>
      </c>
    </row>
    <row r="34" spans="1:6" x14ac:dyDescent="0.3">
      <c r="A34" s="11">
        <v>21</v>
      </c>
      <c r="B34" s="13">
        <f t="shared" si="4"/>
        <v>255439.52359467308</v>
      </c>
      <c r="C34" s="13">
        <f t="shared" si="0"/>
        <v>18076.197767958416</v>
      </c>
      <c r="D34" s="13">
        <f t="shared" si="1"/>
        <v>3831.5928539200959</v>
      </c>
      <c r="E34" s="13">
        <f t="shared" si="2"/>
        <v>14244.60491403832</v>
      </c>
      <c r="F34" s="13">
        <f t="shared" si="3"/>
        <v>241194.91868063476</v>
      </c>
    </row>
    <row r="35" spans="1:6" x14ac:dyDescent="0.3">
      <c r="A35" s="11">
        <v>22</v>
      </c>
      <c r="B35" s="13">
        <f t="shared" si="4"/>
        <v>241194.91868063476</v>
      </c>
      <c r="C35" s="13">
        <f t="shared" si="0"/>
        <v>18076.197767958416</v>
      </c>
      <c r="D35" s="13">
        <f t="shared" si="1"/>
        <v>3617.9237802095213</v>
      </c>
      <c r="E35" s="13">
        <f t="shared" si="2"/>
        <v>14458.273987748895</v>
      </c>
      <c r="F35" s="13">
        <f t="shared" si="3"/>
        <v>226736.64469288586</v>
      </c>
    </row>
    <row r="36" spans="1:6" x14ac:dyDescent="0.3">
      <c r="A36" s="11">
        <v>23</v>
      </c>
      <c r="B36" s="13">
        <f t="shared" si="4"/>
        <v>226736.64469288586</v>
      </c>
      <c r="C36" s="13">
        <f t="shared" si="0"/>
        <v>18076.197767958416</v>
      </c>
      <c r="D36" s="13">
        <f t="shared" si="1"/>
        <v>3401.0496703932877</v>
      </c>
      <c r="E36" s="13">
        <f t="shared" si="2"/>
        <v>14675.148097565128</v>
      </c>
      <c r="F36" s="13">
        <f t="shared" si="3"/>
        <v>212061.49659532073</v>
      </c>
    </row>
    <row r="37" spans="1:6" x14ac:dyDescent="0.3">
      <c r="A37" s="11">
        <v>24</v>
      </c>
      <c r="B37" s="13">
        <f t="shared" si="4"/>
        <v>212061.49659532073</v>
      </c>
      <c r="C37" s="13">
        <f t="shared" si="0"/>
        <v>18076.197767958416</v>
      </c>
      <c r="D37" s="13">
        <f t="shared" si="1"/>
        <v>3180.9224489298108</v>
      </c>
      <c r="E37" s="13">
        <f t="shared" si="2"/>
        <v>14895.275319028606</v>
      </c>
      <c r="F37" s="13">
        <f t="shared" si="3"/>
        <v>197166.22127629211</v>
      </c>
    </row>
    <row r="38" spans="1:6" x14ac:dyDescent="0.3">
      <c r="A38" s="11">
        <v>25</v>
      </c>
      <c r="B38" s="13">
        <f t="shared" si="4"/>
        <v>197166.22127629211</v>
      </c>
      <c r="C38" s="13">
        <f t="shared" si="0"/>
        <v>18076.197767958416</v>
      </c>
      <c r="D38" s="13">
        <f t="shared" si="1"/>
        <v>2957.4933191443815</v>
      </c>
      <c r="E38" s="13">
        <f t="shared" si="2"/>
        <v>15118.704448814035</v>
      </c>
      <c r="F38" s="13">
        <f t="shared" si="3"/>
        <v>182047.51682747807</v>
      </c>
    </row>
    <row r="39" spans="1:6" x14ac:dyDescent="0.3">
      <c r="A39" s="11">
        <v>26</v>
      </c>
      <c r="B39" s="13">
        <f t="shared" si="4"/>
        <v>182047.51682747807</v>
      </c>
      <c r="C39" s="13">
        <f t="shared" si="0"/>
        <v>18076.197767958416</v>
      </c>
      <c r="D39" s="13">
        <f t="shared" si="1"/>
        <v>2730.7127524121711</v>
      </c>
      <c r="E39" s="13">
        <f t="shared" si="2"/>
        <v>15345.485015546245</v>
      </c>
      <c r="F39" s="13">
        <f t="shared" si="3"/>
        <v>166702.03181193184</v>
      </c>
    </row>
    <row r="40" spans="1:6" x14ac:dyDescent="0.3">
      <c r="A40" s="11">
        <v>27</v>
      </c>
      <c r="B40" s="13">
        <f t="shared" si="4"/>
        <v>166702.03181193184</v>
      </c>
      <c r="C40" s="13">
        <f t="shared" si="0"/>
        <v>18076.197767958416</v>
      </c>
      <c r="D40" s="13">
        <f t="shared" si="1"/>
        <v>2500.5304771789774</v>
      </c>
      <c r="E40" s="13">
        <f t="shared" si="2"/>
        <v>15575.667290779438</v>
      </c>
      <c r="F40" s="13">
        <f t="shared" si="3"/>
        <v>151126.3645211524</v>
      </c>
    </row>
    <row r="41" spans="1:6" x14ac:dyDescent="0.3">
      <c r="A41" s="11">
        <v>28</v>
      </c>
      <c r="B41" s="13">
        <f t="shared" si="4"/>
        <v>151126.3645211524</v>
      </c>
      <c r="C41" s="13">
        <f t="shared" si="0"/>
        <v>18076.197767958416</v>
      </c>
      <c r="D41" s="13">
        <f t="shared" si="1"/>
        <v>2266.8954678172859</v>
      </c>
      <c r="E41" s="13">
        <f t="shared" si="2"/>
        <v>15809.302300141131</v>
      </c>
      <c r="F41" s="13">
        <f t="shared" si="3"/>
        <v>135317.06222101126</v>
      </c>
    </row>
    <row r="42" spans="1:6" x14ac:dyDescent="0.3">
      <c r="A42" s="11">
        <v>29</v>
      </c>
      <c r="B42" s="13">
        <f t="shared" si="4"/>
        <v>135317.06222101126</v>
      </c>
      <c r="C42" s="13">
        <f t="shared" si="0"/>
        <v>18076.197767958416</v>
      </c>
      <c r="D42" s="13">
        <f t="shared" si="1"/>
        <v>2029.7559333151689</v>
      </c>
      <c r="E42" s="13">
        <f t="shared" si="2"/>
        <v>16046.441834643247</v>
      </c>
      <c r="F42" s="13">
        <f t="shared" si="3"/>
        <v>119270.62038636801</v>
      </c>
    </row>
    <row r="43" spans="1:6" x14ac:dyDescent="0.3">
      <c r="A43" s="11">
        <v>30</v>
      </c>
      <c r="B43" s="13">
        <f t="shared" si="4"/>
        <v>119270.62038636801</v>
      </c>
      <c r="C43" s="13">
        <f t="shared" si="0"/>
        <v>18076.197767958416</v>
      </c>
      <c r="D43" s="13">
        <f t="shared" si="1"/>
        <v>1789.0593057955202</v>
      </c>
      <c r="E43" s="13">
        <f t="shared" si="2"/>
        <v>16287.138462162897</v>
      </c>
      <c r="F43" s="13">
        <f t="shared" si="3"/>
        <v>102983.48192420512</v>
      </c>
    </row>
    <row r="44" spans="1:6" x14ac:dyDescent="0.3">
      <c r="A44" s="11">
        <v>31</v>
      </c>
      <c r="B44" s="13">
        <f t="shared" si="4"/>
        <v>102983.48192420512</v>
      </c>
      <c r="C44" s="13">
        <f t="shared" si="0"/>
        <v>18076.197767958416</v>
      </c>
      <c r="D44" s="13">
        <f t="shared" si="1"/>
        <v>1544.7522288630767</v>
      </c>
      <c r="E44" s="13">
        <f t="shared" si="2"/>
        <v>16531.445539095341</v>
      </c>
      <c r="F44" s="13">
        <f t="shared" si="3"/>
        <v>86452.036385109779</v>
      </c>
    </row>
    <row r="45" spans="1:6" x14ac:dyDescent="0.3">
      <c r="A45" s="11">
        <v>32</v>
      </c>
      <c r="B45" s="13">
        <f t="shared" si="4"/>
        <v>86452.036385109779</v>
      </c>
      <c r="C45" s="13">
        <f t="shared" si="0"/>
        <v>18076.197767958416</v>
      </c>
      <c r="D45" s="13">
        <f t="shared" si="1"/>
        <v>1296.7805457766467</v>
      </c>
      <c r="E45" s="13">
        <f t="shared" si="2"/>
        <v>16779.417222181768</v>
      </c>
      <c r="F45" s="13">
        <f t="shared" si="3"/>
        <v>69672.619162928007</v>
      </c>
    </row>
    <row r="46" spans="1:6" x14ac:dyDescent="0.3">
      <c r="A46" s="11">
        <v>33</v>
      </c>
      <c r="B46" s="13">
        <f t="shared" si="4"/>
        <v>69672.619162928007</v>
      </c>
      <c r="C46" s="13">
        <f t="shared" si="0"/>
        <v>18076.197767958416</v>
      </c>
      <c r="D46" s="13">
        <f t="shared" si="1"/>
        <v>1045.0892874439201</v>
      </c>
      <c r="E46" s="13">
        <f t="shared" si="2"/>
        <v>17031.108480514496</v>
      </c>
      <c r="F46" s="13">
        <f t="shared" si="3"/>
        <v>52641.510682413515</v>
      </c>
    </row>
    <row r="47" spans="1:6" x14ac:dyDescent="0.3">
      <c r="A47" s="11">
        <v>34</v>
      </c>
      <c r="B47" s="13">
        <f t="shared" si="4"/>
        <v>52641.510682413515</v>
      </c>
      <c r="C47" s="13">
        <f t="shared" si="0"/>
        <v>18076.197767958416</v>
      </c>
      <c r="D47" s="13">
        <f t="shared" si="1"/>
        <v>789.62266023620271</v>
      </c>
      <c r="E47" s="13">
        <f t="shared" si="2"/>
        <v>17286.575107722212</v>
      </c>
      <c r="F47" s="13">
        <f t="shared" si="3"/>
        <v>35354.935574691306</v>
      </c>
    </row>
    <row r="48" spans="1:6" x14ac:dyDescent="0.3">
      <c r="A48" s="11">
        <v>35</v>
      </c>
      <c r="B48" s="13">
        <f t="shared" si="4"/>
        <v>35354.935574691306</v>
      </c>
      <c r="C48" s="13">
        <f t="shared" si="0"/>
        <v>18076.197767958416</v>
      </c>
      <c r="D48" s="13">
        <f t="shared" si="1"/>
        <v>530.32403362036962</v>
      </c>
      <c r="E48" s="13">
        <f t="shared" si="2"/>
        <v>17545.873734338045</v>
      </c>
      <c r="F48" s="13">
        <f t="shared" si="3"/>
        <v>17809.061840353261</v>
      </c>
    </row>
    <row r="49" spans="1:6" x14ac:dyDescent="0.3">
      <c r="A49" s="11">
        <v>36</v>
      </c>
      <c r="B49" s="13">
        <f t="shared" si="4"/>
        <v>17809.061840353261</v>
      </c>
      <c r="C49" s="13">
        <f t="shared" si="0"/>
        <v>18076.197767958416</v>
      </c>
      <c r="D49" s="13">
        <f t="shared" si="1"/>
        <v>267.13592760529889</v>
      </c>
      <c r="E49" s="13">
        <f t="shared" si="2"/>
        <v>17809.061840353119</v>
      </c>
      <c r="F49" s="13">
        <f t="shared" si="3"/>
        <v>1.4188117347657681E-10</v>
      </c>
    </row>
    <row r="50" spans="1:6" x14ac:dyDescent="0.3">
      <c r="A50" s="2" t="s">
        <v>45</v>
      </c>
      <c r="C50" s="21">
        <f>SUM(C14:C49)</f>
        <v>650743.11964650266</v>
      </c>
      <c r="D50" s="21">
        <f>SUM(D14:D49)</f>
        <v>150743.1196465031</v>
      </c>
      <c r="E50" s="21">
        <f>SUM(E14:E49)</f>
        <v>499999.99999999983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Кредит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Студенты Левченко Д.О.</cp:lastModifiedBy>
  <cp:revision>0</cp:revision>
  <dcterms:created xsi:type="dcterms:W3CDTF">2026-09-24T14:39:40Z</dcterms:created>
  <dcterms:modified xsi:type="dcterms:W3CDTF">2026-09-24T14:50:05Z</dcterms:modified>
  <dc:language>en-US</dc:language>
</cp:coreProperties>
</file>